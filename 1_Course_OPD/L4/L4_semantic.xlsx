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1_{7CBD3C25-10DC-49C3-9644-9C84724860ED}" xr6:coauthVersionLast="47" xr6:coauthVersionMax="47" xr10:uidLastSave="{00000000-0000-0000-0000-000000000000}"/>
  <bookViews>
    <workbookView xWindow="-108" yWindow="-108" windowWidth="23256" windowHeight="12456" activeTab="1" xr2:uid="{27D83566-31B7-4703-8B6D-D0FC5DB5344E}"/>
  </bookViews>
  <sheets>
    <sheet name="Лист1" sheetId="1" r:id="rId1"/>
    <sheet name="trace_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4" i="1"/>
  <c r="F3" i="1"/>
  <c r="A31" i="1"/>
  <c r="A32" i="1"/>
  <c r="A33" i="1"/>
  <c r="A34" i="1"/>
  <c r="A35" i="1"/>
  <c r="A30" i="1"/>
  <c r="A27" i="1"/>
  <c r="A12" i="1"/>
  <c r="A13" i="1"/>
  <c r="A14" i="1"/>
  <c r="A15" i="1"/>
  <c r="A16" i="1"/>
  <c r="A11" i="1"/>
</calcChain>
</file>

<file path=xl/sharedStrings.xml><?xml version="1.0" encoding="utf-8"?>
<sst xmlns="http://schemas.openxmlformats.org/spreadsheetml/2006/main" count="755" uniqueCount="222">
  <si>
    <t>EE17</t>
  </si>
  <si>
    <t>AE15</t>
  </si>
  <si>
    <t>0C00</t>
  </si>
  <si>
    <t>D689</t>
  </si>
  <si>
    <t>EE10</t>
  </si>
  <si>
    <t>AE0D</t>
  </si>
  <si>
    <t>6E0B</t>
  </si>
  <si>
    <t>EE0A</t>
  </si>
  <si>
    <t>EE04</t>
  </si>
  <si>
    <t>F98A</t>
  </si>
  <si>
    <t>AC01</t>
  </si>
  <si>
    <t>F303</t>
  </si>
  <si>
    <t>7E0A</t>
  </si>
  <si>
    <t>F201</t>
  </si>
  <si>
    <t>CE05</t>
  </si>
  <si>
    <t>4C01</t>
  </si>
  <si>
    <t>CE01</t>
  </si>
  <si>
    <t>AE02</t>
  </si>
  <si>
    <t>EC01</t>
  </si>
  <si>
    <t>0A00</t>
  </si>
  <si>
    <t>0740</t>
  </si>
  <si>
    <t>0800</t>
  </si>
  <si>
    <t>6E11</t>
  </si>
  <si>
    <t>6E05</t>
  </si>
  <si>
    <t>0100</t>
  </si>
  <si>
    <t>4E05</t>
  </si>
  <si>
    <t>A</t>
  </si>
  <si>
    <t>B</t>
  </si>
  <si>
    <t>C</t>
  </si>
  <si>
    <t>D</t>
  </si>
  <si>
    <t>E</t>
  </si>
  <si>
    <t>F</t>
  </si>
  <si>
    <t>---</t>
  </si>
  <si>
    <t>Адрес</t>
  </si>
  <si>
    <t>Команда</t>
  </si>
  <si>
    <t>Семантика</t>
  </si>
  <si>
    <t>Комментарий</t>
  </si>
  <si>
    <t>+0200</t>
  </si>
  <si>
    <t>CLA</t>
  </si>
  <si>
    <t>DEC</t>
  </si>
  <si>
    <t>PUSH</t>
  </si>
  <si>
    <t>CALL 689</t>
  </si>
  <si>
    <t>POP</t>
  </si>
  <si>
    <t>0001_0111</t>
  </si>
  <si>
    <t>0001_0101</t>
  </si>
  <si>
    <t>ST IP+17  47A</t>
  </si>
  <si>
    <t>LD IP+15  479</t>
  </si>
  <si>
    <t>0001_0001</t>
  </si>
  <si>
    <t>ST IP+10  47A</t>
  </si>
  <si>
    <t>LD IP+D 478</t>
  </si>
  <si>
    <t>смещение в 10 сс</t>
  </si>
  <si>
    <t>SUB IP+B  47A</t>
  </si>
  <si>
    <t>ST IP+A  47A</t>
  </si>
  <si>
    <t>AE06</t>
  </si>
  <si>
    <t>LD IP+6  477</t>
  </si>
  <si>
    <t>SUB IP+5  47A</t>
  </si>
  <si>
    <t>ST IP+4  47A</t>
  </si>
  <si>
    <t>HLT</t>
  </si>
  <si>
    <t>Z</t>
  </si>
  <si>
    <t>Y</t>
  </si>
  <si>
    <t>X</t>
  </si>
  <si>
    <t>RESULT</t>
  </si>
  <si>
    <t>CMP IP+A  696</t>
  </si>
  <si>
    <t>JUMP IP+5  693</t>
  </si>
  <si>
    <t>ADD &amp;1</t>
  </si>
  <si>
    <t>LD &amp;1</t>
  </si>
  <si>
    <t>ADD IP+5  697</t>
  </si>
  <si>
    <t>JUMP IP+1  694</t>
  </si>
  <si>
    <t>ST &amp;1</t>
  </si>
  <si>
    <t>RET</t>
  </si>
  <si>
    <t>N1</t>
  </si>
  <si>
    <t>N2</t>
  </si>
  <si>
    <t>Очистка + начало</t>
  </si>
  <si>
    <t>Очищает результат</t>
  </si>
  <si>
    <t>Загружает X</t>
  </si>
  <si>
    <t>Декремент X</t>
  </si>
  <si>
    <t>Вызов п\п</t>
  </si>
  <si>
    <t>BPL IP+3 68E</t>
  </si>
  <si>
    <t>Сравнивает число с N1 ((X-1)?N1)</t>
  </si>
  <si>
    <t>BMI IP+1 68E</t>
  </si>
  <si>
    <t>Переходит в 693</t>
  </si>
  <si>
    <t>Добавляет N2 к текущему числу (4(X-1)+N2)</t>
  </si>
  <si>
    <t>Переходит в 694</t>
  </si>
  <si>
    <t>LD IP+2  696</t>
  </si>
  <si>
    <t>Загружает N1</t>
  </si>
  <si>
    <t>Возвращает в программу</t>
  </si>
  <si>
    <t>Добавляет число из стека к нему же (2(X-1))</t>
  </si>
  <si>
    <t>Загружает число из стека (X-1)</t>
  </si>
  <si>
    <t>Добавляет число из стека к нему же (3(X-1))</t>
  </si>
  <si>
    <t>Добавляет число из стека к нему же (4(X-1))</t>
  </si>
  <si>
    <t>Пушит X-1 в стек</t>
  </si>
  <si>
    <r>
      <t xml:space="preserve">Переходит в </t>
    </r>
    <r>
      <rPr>
        <sz val="11"/>
        <color theme="7"/>
        <rFont val="Calibri"/>
        <family val="2"/>
        <scheme val="minor"/>
      </rPr>
      <t>68B</t>
    </r>
    <r>
      <rPr>
        <sz val="11"/>
        <color theme="1"/>
        <rFont val="Calibri"/>
        <family val="2"/>
        <charset val="204"/>
        <scheme val="minor"/>
      </rPr>
      <t xml:space="preserve">, если число&gt;0, иначе в </t>
    </r>
    <r>
      <rPr>
        <sz val="11"/>
        <color theme="5"/>
        <rFont val="Calibri"/>
        <family val="2"/>
        <scheme val="minor"/>
      </rPr>
      <t>68E</t>
    </r>
  </si>
  <si>
    <t>Изначальное большое положительное число</t>
  </si>
  <si>
    <t>Изначальное число, которое прибавляется во время суммы</t>
  </si>
  <si>
    <t>Сохраняет на стек текущее число</t>
  </si>
  <si>
    <t>SUB IP+11  47A</t>
  </si>
  <si>
    <t>Вычитает значение Xm из RESULT</t>
  </si>
  <si>
    <t>Сохраняет Xm-RESULT в RESULT</t>
  </si>
  <si>
    <t>Загружает Y</t>
  </si>
  <si>
    <t>Пушит Y в стек</t>
  </si>
  <si>
    <t>Вызывает п\п</t>
  </si>
  <si>
    <t>Забирает Ym = (4Y-N2 or N1) из стека</t>
  </si>
  <si>
    <t>Вычитает Ym из 47A, Ym-RESULT</t>
  </si>
  <si>
    <t>Сохраняет Ym-RESULT в RESULT</t>
  </si>
  <si>
    <t>Загружает Z</t>
  </si>
  <si>
    <t>Пушит Z в стек</t>
  </si>
  <si>
    <t>Забирает Zm = (4Z-N2 or N1) из стека</t>
  </si>
  <si>
    <t>Вычитает Zm из 47A, Zm-RESULT</t>
  </si>
  <si>
    <t>Сохраняет Zm-RESULT в RESULT</t>
  </si>
  <si>
    <t>Остановка</t>
  </si>
  <si>
    <t>Операнд</t>
  </si>
  <si>
    <t>Ответ, может быть любым числом изначально</t>
  </si>
  <si>
    <t>Забирает значение Xm = (4X-N2 or N1) из стека</t>
  </si>
  <si>
    <r>
      <t xml:space="preserve">П\П работает по принципу: </t>
    </r>
    <r>
      <rPr>
        <sz val="11"/>
        <color theme="0"/>
        <rFont val="Calibri"/>
        <family val="2"/>
        <scheme val="minor"/>
      </rPr>
      <t>_____________________________ _</t>
    </r>
    <r>
      <rPr>
        <sz val="11"/>
        <color theme="1"/>
        <rFont val="Calibri"/>
        <family val="2"/>
        <scheme val="minor"/>
      </rPr>
      <t xml:space="preserve">Если число на входе (X) &lt; 0, то на выход подается 4X+N2 (N2 по идее положительное), в случае X &gt;= 0, идет сравнение с N1 </t>
    </r>
    <r>
      <rPr>
        <sz val="11"/>
        <color theme="1"/>
        <rFont val="Calibri"/>
        <family val="2"/>
        <charset val="204"/>
        <scheme val="minor"/>
      </rPr>
      <t xml:space="preserve">(N1 по идее положительное), если X&lt;N1, то на выход подается N1, в случае X&gt;=N1 на выход подается 4X+N2 Основная программа работает по принципу:                        </t>
    </r>
    <r>
      <rPr>
        <sz val="11"/>
        <color theme="0"/>
        <rFont val="Calibri"/>
        <family val="2"/>
        <scheme val="minor"/>
      </rPr>
      <t>_</t>
    </r>
    <r>
      <rPr>
        <sz val="11"/>
        <rFont val="Calibri"/>
        <family val="2"/>
        <scheme val="minor"/>
      </rPr>
      <t>Б</t>
    </r>
    <r>
      <rPr>
        <sz val="11"/>
        <color theme="1"/>
        <rFont val="Calibri"/>
        <family val="2"/>
        <charset val="204"/>
        <scheme val="minor"/>
      </rPr>
      <t>ерет изначальные X,Y,Z (для X выполняется декремент) и по очереди вызывает для них п\п, а после вычитает из RESULT и загружает туда же</t>
    </r>
  </si>
  <si>
    <r>
      <t xml:space="preserve">Переходит в </t>
    </r>
    <r>
      <rPr>
        <sz val="11"/>
        <color theme="7"/>
        <rFont val="Calibri"/>
        <family val="2"/>
        <scheme val="minor"/>
      </rPr>
      <t>68D</t>
    </r>
    <r>
      <rPr>
        <sz val="11"/>
        <color theme="1"/>
        <rFont val="Calibri"/>
        <family val="2"/>
        <charset val="204"/>
        <scheme val="minor"/>
      </rPr>
      <t xml:space="preserve">, если (X-1)&lt;N1, иначе в </t>
    </r>
    <r>
      <rPr>
        <sz val="11"/>
        <color theme="5"/>
        <rFont val="Calibri"/>
        <family val="2"/>
        <scheme val="minor"/>
      </rPr>
      <t>68E</t>
    </r>
  </si>
  <si>
    <t>1000</t>
  </si>
  <si>
    <t>008</t>
  </si>
  <si>
    <t>FD03</t>
  </si>
  <si>
    <t>0476</t>
  </si>
  <si>
    <t>000</t>
  </si>
  <si>
    <t>476</t>
  </si>
  <si>
    <t>477</t>
  </si>
  <si>
    <t>47A</t>
  </si>
  <si>
    <t>0004</t>
  </si>
  <si>
    <t>475</t>
  </si>
  <si>
    <t>0005</t>
  </si>
  <si>
    <t>31E8</t>
  </si>
  <si>
    <t>474</t>
  </si>
  <si>
    <t>0001</t>
  </si>
  <si>
    <t>001</t>
  </si>
  <si>
    <t>2EEB</t>
  </si>
  <si>
    <t>0473</t>
  </si>
  <si>
    <t>7FF</t>
  </si>
  <si>
    <t>473</t>
  </si>
  <si>
    <t>0695</t>
  </si>
  <si>
    <t>7FE</t>
  </si>
  <si>
    <t>695</t>
  </si>
  <si>
    <t>694</t>
  </si>
  <si>
    <t>0694</t>
  </si>
  <si>
    <t>692</t>
  </si>
  <si>
    <t>FFFF</t>
  </si>
  <si>
    <t>697</t>
  </si>
  <si>
    <t>691</t>
  </si>
  <si>
    <t>0000</t>
  </si>
  <si>
    <t>2EEC</t>
  </si>
  <si>
    <t>0BBB</t>
  </si>
  <si>
    <t>690</t>
  </si>
  <si>
    <t>2331</t>
  </si>
  <si>
    <t>68F</t>
  </si>
  <si>
    <t>1776</t>
  </si>
  <si>
    <t>68E</t>
  </si>
  <si>
    <t>0003</t>
  </si>
  <si>
    <t>68A</t>
  </si>
  <si>
    <t>689</t>
  </si>
  <si>
    <t>472</t>
  </si>
  <si>
    <t>0471</t>
  </si>
  <si>
    <t>471</t>
  </si>
  <si>
    <t>0006</t>
  </si>
  <si>
    <t>470</t>
  </si>
  <si>
    <t>000A</t>
  </si>
  <si>
    <t>46F</t>
  </si>
  <si>
    <t>000B</t>
  </si>
  <si>
    <t>48CB</t>
  </si>
  <si>
    <t>46E</t>
  </si>
  <si>
    <t>7AB3</t>
  </si>
  <si>
    <t>046D</t>
  </si>
  <si>
    <t>46D</t>
  </si>
  <si>
    <t>0011</t>
  </si>
  <si>
    <t>003</t>
  </si>
  <si>
    <t>7AB4</t>
  </si>
  <si>
    <t>DEAD</t>
  </si>
  <si>
    <t>1001</t>
  </si>
  <si>
    <t>009</t>
  </si>
  <si>
    <t>9C07</t>
  </si>
  <si>
    <t>BD5A</t>
  </si>
  <si>
    <t>68C</t>
  </si>
  <si>
    <t>696</t>
  </si>
  <si>
    <t>68B</t>
  </si>
  <si>
    <t>068A</t>
  </si>
  <si>
    <t>46C</t>
  </si>
  <si>
    <t>046B</t>
  </si>
  <si>
    <t>46B</t>
  </si>
  <si>
    <t>000D</t>
  </si>
  <si>
    <t>478</t>
  </si>
  <si>
    <t>46A</t>
  </si>
  <si>
    <t>0010</t>
  </si>
  <si>
    <t>469</t>
  </si>
  <si>
    <t>468</t>
  </si>
  <si>
    <t>0467</t>
  </si>
  <si>
    <t>467</t>
  </si>
  <si>
    <t>48CC</t>
  </si>
  <si>
    <t>1233</t>
  </si>
  <si>
    <t>3699</t>
  </si>
  <si>
    <t>2466</t>
  </si>
  <si>
    <t>466</t>
  </si>
  <si>
    <t>0465</t>
  </si>
  <si>
    <t>465</t>
  </si>
  <si>
    <t>0464</t>
  </si>
  <si>
    <t>464</t>
  </si>
  <si>
    <t>1234</t>
  </si>
  <si>
    <t>0015</t>
  </si>
  <si>
    <t>479</t>
  </si>
  <si>
    <t>463</t>
  </si>
  <si>
    <t>004</t>
  </si>
  <si>
    <t>0017</t>
  </si>
  <si>
    <t>462</t>
  </si>
  <si>
    <t>0461</t>
  </si>
  <si>
    <t>0200</t>
  </si>
  <si>
    <t>461</t>
  </si>
  <si>
    <t>Знчн</t>
  </si>
  <si>
    <t>Адр</t>
  </si>
  <si>
    <t>NZVC</t>
  </si>
  <si>
    <t>PS</t>
  </si>
  <si>
    <t>AC</t>
  </si>
  <si>
    <t>BR</t>
  </si>
  <si>
    <t>SP</t>
  </si>
  <si>
    <t>DR</t>
  </si>
  <si>
    <t>AR</t>
  </si>
  <si>
    <t>CR</t>
  </si>
  <si>
    <t>IP</t>
  </si>
  <si>
    <t>0124</t>
  </si>
  <si>
    <t>верно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</si>
</sst>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7" fillId="4" borderId="1" applyNumberFormat="0" applyAlignment="0" applyProtection="0"/>
  </cellStyleXfs>
  <cellXfs count="14">
    <xf numFmtId="0" fontId="0" fillId="0" borderId="0" xfId="0"/>
    <xf numFmtId="49" fontId="0" fillId="0" borderId="0" xfId="0" applyNumberFormat="1"/>
    <xf numFmtId="49" fontId="0" fillId="3" borderId="0" xfId="0" applyNumberFormat="1" applyFill="1"/>
    <xf numFmtId="0" fontId="0" fillId="5" borderId="2" xfId="0" applyNumberFormat="1" applyFill="1" applyBorder="1" applyAlignment="1">
      <alignment horizontal="left"/>
    </xf>
    <xf numFmtId="49" fontId="0" fillId="5" borderId="2" xfId="0" applyNumberFormat="1" applyFill="1" applyBorder="1"/>
    <xf numFmtId="49" fontId="0" fillId="5" borderId="2" xfId="0" applyNumberFormat="1" applyFill="1" applyBorder="1" applyAlignment="1">
      <alignment horizontal="center"/>
    </xf>
    <xf numFmtId="0" fontId="0" fillId="5" borderId="2" xfId="0" applyNumberFormat="1" applyFill="1" applyBorder="1" applyAlignment="1">
      <alignment horizontal="center"/>
    </xf>
    <xf numFmtId="0" fontId="0" fillId="5" borderId="2" xfId="0" quotePrefix="1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vertical="top" wrapText="1"/>
    </xf>
    <xf numFmtId="49" fontId="0" fillId="2" borderId="2" xfId="0" applyNumberFormat="1" applyFont="1" applyFill="1" applyBorder="1"/>
    <xf numFmtId="49" fontId="0" fillId="3" borderId="2" xfId="0" applyNumberFormat="1" applyFill="1" applyBorder="1"/>
    <xf numFmtId="49" fontId="7" fillId="4" borderId="1" xfId="1" applyNumberFormat="1"/>
    <xf numFmtId="49" fontId="8" fillId="2" borderId="0" xfId="0" applyNumberFormat="1" applyFont="1" applyFill="1"/>
    <xf numFmtId="49" fontId="0" fillId="2" borderId="0" xfId="0" applyNumberFormat="1" applyFill="1"/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93B1-909B-40C6-9702-107D7F1C9A86}">
  <dimension ref="A1:G43"/>
  <sheetViews>
    <sheetView topLeftCell="A28" zoomScale="77" zoomScaleNormal="100" workbookViewId="0">
      <selection activeCell="E29" sqref="E29"/>
    </sheetView>
  </sheetViews>
  <sheetFormatPr defaultRowHeight="14.4" x14ac:dyDescent="0.3"/>
  <cols>
    <col min="1" max="1" width="8.88671875" style="3"/>
    <col min="2" max="2" width="8.88671875" style="4"/>
    <col min="3" max="3" width="14.109375" style="4" customWidth="1"/>
    <col min="4" max="4" width="53.5546875" style="4" customWidth="1"/>
    <col min="5" max="5" width="10.44140625" style="4" customWidth="1"/>
    <col min="6" max="6" width="15.77734375" style="6" customWidth="1"/>
    <col min="7" max="7" width="29.88671875" style="4" customWidth="1"/>
    <col min="8" max="16384" width="8.88671875" style="4"/>
  </cols>
  <sheetData>
    <row r="1" spans="1:7" x14ac:dyDescent="0.3">
      <c r="A1" s="3" t="s">
        <v>33</v>
      </c>
      <c r="B1" s="4" t="s">
        <v>34</v>
      </c>
      <c r="C1" s="4" t="s">
        <v>35</v>
      </c>
      <c r="D1" s="4" t="s">
        <v>36</v>
      </c>
      <c r="F1" s="5" t="s">
        <v>50</v>
      </c>
    </row>
    <row r="2" spans="1:7" x14ac:dyDescent="0.3">
      <c r="A2" s="3">
        <v>461</v>
      </c>
      <c r="B2" s="4" t="s">
        <v>37</v>
      </c>
      <c r="C2" s="4" t="s">
        <v>38</v>
      </c>
      <c r="D2" s="4" t="s">
        <v>72</v>
      </c>
      <c r="G2" s="4" t="s">
        <v>26</v>
      </c>
    </row>
    <row r="3" spans="1:7" x14ac:dyDescent="0.3">
      <c r="A3" s="3">
        <v>462</v>
      </c>
      <c r="B3" s="4" t="s">
        <v>0</v>
      </c>
      <c r="C3" s="4" t="s">
        <v>45</v>
      </c>
      <c r="D3" s="4" t="s">
        <v>73</v>
      </c>
      <c r="E3" s="4" t="s">
        <v>43</v>
      </c>
      <c r="F3" s="6">
        <f>16+7</f>
        <v>23</v>
      </c>
      <c r="G3" s="4" t="s">
        <v>27</v>
      </c>
    </row>
    <row r="4" spans="1:7" x14ac:dyDescent="0.3">
      <c r="A4" s="3">
        <v>463</v>
      </c>
      <c r="B4" s="4" t="s">
        <v>1</v>
      </c>
      <c r="C4" s="4" t="s">
        <v>46</v>
      </c>
      <c r="D4" s="4" t="s">
        <v>74</v>
      </c>
      <c r="E4" s="4" t="s">
        <v>44</v>
      </c>
      <c r="F4" s="6">
        <f>16+5</f>
        <v>21</v>
      </c>
      <c r="G4" s="4" t="s">
        <v>28</v>
      </c>
    </row>
    <row r="5" spans="1:7" x14ac:dyDescent="0.3">
      <c r="A5" s="3">
        <v>464</v>
      </c>
      <c r="B5" s="4" t="s">
        <v>20</v>
      </c>
      <c r="C5" s="4" t="s">
        <v>39</v>
      </c>
      <c r="D5" s="4" t="s">
        <v>75</v>
      </c>
      <c r="G5" s="4" t="s">
        <v>29</v>
      </c>
    </row>
    <row r="6" spans="1:7" x14ac:dyDescent="0.3">
      <c r="A6" s="3">
        <v>465</v>
      </c>
      <c r="B6" s="4" t="s">
        <v>2</v>
      </c>
      <c r="C6" s="4" t="s">
        <v>40</v>
      </c>
      <c r="D6" s="4" t="s">
        <v>90</v>
      </c>
      <c r="G6" s="4" t="s">
        <v>30</v>
      </c>
    </row>
    <row r="7" spans="1:7" x14ac:dyDescent="0.3">
      <c r="A7" s="3">
        <v>466</v>
      </c>
      <c r="B7" s="4" t="s">
        <v>3</v>
      </c>
      <c r="C7" s="4" t="s">
        <v>41</v>
      </c>
      <c r="D7" s="4" t="s">
        <v>76</v>
      </c>
      <c r="G7" s="4" t="s">
        <v>31</v>
      </c>
    </row>
    <row r="8" spans="1:7" x14ac:dyDescent="0.3">
      <c r="A8" s="3">
        <v>467</v>
      </c>
      <c r="B8" s="4" t="s">
        <v>21</v>
      </c>
      <c r="C8" s="4" t="s">
        <v>42</v>
      </c>
      <c r="D8" s="4" t="s">
        <v>112</v>
      </c>
    </row>
    <row r="9" spans="1:7" x14ac:dyDescent="0.3">
      <c r="A9" s="3">
        <v>468</v>
      </c>
      <c r="B9" s="4" t="s">
        <v>22</v>
      </c>
      <c r="C9" s="4" t="s">
        <v>95</v>
      </c>
      <c r="D9" s="4" t="s">
        <v>96</v>
      </c>
      <c r="E9" s="4" t="s">
        <v>47</v>
      </c>
      <c r="F9" s="6">
        <f>16+1</f>
        <v>17</v>
      </c>
    </row>
    <row r="10" spans="1:7" x14ac:dyDescent="0.3">
      <c r="A10" s="3">
        <v>469</v>
      </c>
      <c r="B10" s="4" t="s">
        <v>4</v>
      </c>
      <c r="C10" s="4" t="s">
        <v>48</v>
      </c>
      <c r="D10" s="4" t="s">
        <v>97</v>
      </c>
      <c r="F10" s="6">
        <v>16</v>
      </c>
    </row>
    <row r="11" spans="1:7" x14ac:dyDescent="0.3">
      <c r="A11" s="3" t="str">
        <f>"46"&amp;G2</f>
        <v>46A</v>
      </c>
      <c r="B11" s="4" t="s">
        <v>5</v>
      </c>
      <c r="C11" s="4" t="s">
        <v>49</v>
      </c>
      <c r="D11" s="4" t="s">
        <v>98</v>
      </c>
      <c r="F11" s="6">
        <v>13</v>
      </c>
    </row>
    <row r="12" spans="1:7" x14ac:dyDescent="0.3">
      <c r="A12" s="3" t="str">
        <f t="shared" ref="A12:A16" si="0">"46"&amp;G3</f>
        <v>46B</v>
      </c>
      <c r="B12" s="4" t="s">
        <v>2</v>
      </c>
      <c r="C12" s="4" t="s">
        <v>40</v>
      </c>
      <c r="D12" s="4" t="s">
        <v>99</v>
      </c>
    </row>
    <row r="13" spans="1:7" x14ac:dyDescent="0.3">
      <c r="A13" s="3" t="str">
        <f t="shared" si="0"/>
        <v>46C</v>
      </c>
      <c r="B13" s="4" t="s">
        <v>3</v>
      </c>
      <c r="C13" s="4" t="s">
        <v>41</v>
      </c>
      <c r="D13" s="4" t="s">
        <v>100</v>
      </c>
    </row>
    <row r="14" spans="1:7" x14ac:dyDescent="0.3">
      <c r="A14" s="3" t="str">
        <f t="shared" si="0"/>
        <v>46D</v>
      </c>
      <c r="B14" s="4" t="s">
        <v>21</v>
      </c>
      <c r="C14" s="4" t="s">
        <v>42</v>
      </c>
      <c r="D14" s="4" t="s">
        <v>101</v>
      </c>
    </row>
    <row r="15" spans="1:7" x14ac:dyDescent="0.3">
      <c r="A15" s="3" t="str">
        <f t="shared" si="0"/>
        <v>46E</v>
      </c>
      <c r="B15" s="4" t="s">
        <v>6</v>
      </c>
      <c r="C15" s="4" t="s">
        <v>51</v>
      </c>
      <c r="D15" s="4" t="s">
        <v>102</v>
      </c>
      <c r="F15" s="6">
        <v>11</v>
      </c>
    </row>
    <row r="16" spans="1:7" x14ac:dyDescent="0.3">
      <c r="A16" s="3" t="str">
        <f t="shared" si="0"/>
        <v>46F</v>
      </c>
      <c r="B16" s="4" t="s">
        <v>7</v>
      </c>
      <c r="C16" s="4" t="s">
        <v>52</v>
      </c>
      <c r="D16" s="4" t="s">
        <v>103</v>
      </c>
      <c r="F16" s="6">
        <v>10</v>
      </c>
    </row>
    <row r="17" spans="1:6" x14ac:dyDescent="0.3">
      <c r="A17" s="3">
        <v>470</v>
      </c>
      <c r="B17" s="4" t="s">
        <v>53</v>
      </c>
      <c r="C17" s="4" t="s">
        <v>54</v>
      </c>
      <c r="D17" s="4" t="s">
        <v>104</v>
      </c>
      <c r="F17" s="6">
        <v>6</v>
      </c>
    </row>
    <row r="18" spans="1:6" x14ac:dyDescent="0.3">
      <c r="A18" s="3">
        <v>471</v>
      </c>
      <c r="B18" s="4" t="s">
        <v>2</v>
      </c>
      <c r="C18" s="4" t="s">
        <v>40</v>
      </c>
      <c r="D18" s="4" t="s">
        <v>105</v>
      </c>
    </row>
    <row r="19" spans="1:6" x14ac:dyDescent="0.3">
      <c r="A19" s="3">
        <v>472</v>
      </c>
      <c r="B19" s="4" t="s">
        <v>3</v>
      </c>
      <c r="C19" s="4" t="s">
        <v>41</v>
      </c>
      <c r="D19" s="4" t="s">
        <v>100</v>
      </c>
    </row>
    <row r="20" spans="1:6" x14ac:dyDescent="0.3">
      <c r="A20" s="3">
        <v>473</v>
      </c>
      <c r="B20" s="4" t="s">
        <v>21</v>
      </c>
      <c r="C20" s="4" t="s">
        <v>42</v>
      </c>
      <c r="D20" s="4" t="s">
        <v>106</v>
      </c>
    </row>
    <row r="21" spans="1:6" x14ac:dyDescent="0.3">
      <c r="A21" s="3">
        <v>474</v>
      </c>
      <c r="B21" s="4" t="s">
        <v>23</v>
      </c>
      <c r="C21" s="4" t="s">
        <v>55</v>
      </c>
      <c r="D21" s="4" t="s">
        <v>107</v>
      </c>
      <c r="F21" s="6">
        <v>5</v>
      </c>
    </row>
    <row r="22" spans="1:6" x14ac:dyDescent="0.3">
      <c r="A22" s="3">
        <v>475</v>
      </c>
      <c r="B22" s="4" t="s">
        <v>8</v>
      </c>
      <c r="C22" s="4" t="s">
        <v>56</v>
      </c>
      <c r="D22" s="4" t="s">
        <v>108</v>
      </c>
      <c r="F22" s="6">
        <v>4</v>
      </c>
    </row>
    <row r="23" spans="1:6" x14ac:dyDescent="0.3">
      <c r="A23" s="3">
        <v>476</v>
      </c>
      <c r="B23" s="4" t="s">
        <v>24</v>
      </c>
      <c r="C23" s="4" t="s">
        <v>57</v>
      </c>
      <c r="D23" s="4" t="s">
        <v>109</v>
      </c>
    </row>
    <row r="24" spans="1:6" x14ac:dyDescent="0.3">
      <c r="A24" s="3">
        <v>477</v>
      </c>
      <c r="B24" s="4" t="s">
        <v>220</v>
      </c>
      <c r="C24" s="4" t="s">
        <v>58</v>
      </c>
      <c r="D24" s="4" t="s">
        <v>110</v>
      </c>
    </row>
    <row r="25" spans="1:6" x14ac:dyDescent="0.3">
      <c r="A25" s="3">
        <v>478</v>
      </c>
      <c r="B25" s="4" t="s">
        <v>170</v>
      </c>
      <c r="C25" s="4" t="s">
        <v>59</v>
      </c>
      <c r="D25" s="4" t="s">
        <v>110</v>
      </c>
    </row>
    <row r="26" spans="1:6" x14ac:dyDescent="0.3">
      <c r="A26" s="3">
        <v>479</v>
      </c>
      <c r="B26" s="4" t="s">
        <v>145</v>
      </c>
      <c r="C26" s="4" t="s">
        <v>60</v>
      </c>
      <c r="D26" s="4" t="s">
        <v>110</v>
      </c>
    </row>
    <row r="27" spans="1:6" x14ac:dyDescent="0.3">
      <c r="A27" s="3" t="str">
        <f>"47"&amp;G2</f>
        <v>47A</v>
      </c>
      <c r="B27" s="4" t="s">
        <v>9</v>
      </c>
      <c r="C27" s="4" t="s">
        <v>61</v>
      </c>
      <c r="D27" s="4" t="s">
        <v>111</v>
      </c>
    </row>
    <row r="28" spans="1:6" ht="133.80000000000001" customHeight="1" x14ac:dyDescent="0.3">
      <c r="A28" s="7" t="s">
        <v>32</v>
      </c>
      <c r="B28" s="7" t="s">
        <v>32</v>
      </c>
      <c r="C28" s="7" t="s">
        <v>32</v>
      </c>
      <c r="D28" s="8" t="s">
        <v>113</v>
      </c>
    </row>
    <row r="29" spans="1:6" x14ac:dyDescent="0.3">
      <c r="A29" s="3">
        <v>689</v>
      </c>
      <c r="B29" s="4" t="s">
        <v>10</v>
      </c>
      <c r="C29" s="4" t="s">
        <v>65</v>
      </c>
      <c r="D29" s="4" t="s">
        <v>87</v>
      </c>
    </row>
    <row r="30" spans="1:6" x14ac:dyDescent="0.3">
      <c r="A30" s="3" t="str">
        <f>"68"&amp;G2</f>
        <v>68A</v>
      </c>
      <c r="B30" s="4" t="s">
        <v>11</v>
      </c>
      <c r="C30" s="4" t="s">
        <v>77</v>
      </c>
      <c r="D30" s="4" t="s">
        <v>91</v>
      </c>
    </row>
    <row r="31" spans="1:6" x14ac:dyDescent="0.3">
      <c r="A31" s="3" t="str">
        <f t="shared" ref="A31:A35" si="1">"68"&amp;G3</f>
        <v>68B</v>
      </c>
      <c r="B31" s="4" t="s">
        <v>12</v>
      </c>
      <c r="C31" s="4" t="s">
        <v>62</v>
      </c>
      <c r="D31" s="9" t="s">
        <v>78</v>
      </c>
      <c r="F31" s="6">
        <v>10</v>
      </c>
    </row>
    <row r="32" spans="1:6" x14ac:dyDescent="0.3">
      <c r="A32" s="3" t="str">
        <f t="shared" si="1"/>
        <v>68C</v>
      </c>
      <c r="B32" s="4" t="s">
        <v>13</v>
      </c>
      <c r="C32" s="4" t="s">
        <v>79</v>
      </c>
      <c r="D32" s="4" t="s">
        <v>114</v>
      </c>
      <c r="F32" s="6">
        <v>1</v>
      </c>
    </row>
    <row r="33" spans="1:6" x14ac:dyDescent="0.3">
      <c r="A33" s="3" t="str">
        <f t="shared" si="1"/>
        <v>68D</v>
      </c>
      <c r="B33" s="4" t="s">
        <v>14</v>
      </c>
      <c r="C33" s="4" t="s">
        <v>63</v>
      </c>
      <c r="D33" s="10" t="s">
        <v>80</v>
      </c>
      <c r="F33" s="6">
        <v>5</v>
      </c>
    </row>
    <row r="34" spans="1:6" x14ac:dyDescent="0.3">
      <c r="A34" s="3" t="str">
        <f t="shared" si="1"/>
        <v>68E</v>
      </c>
      <c r="B34" s="4" t="s">
        <v>15</v>
      </c>
      <c r="C34" s="4" t="s">
        <v>64</v>
      </c>
      <c r="D34" s="9" t="s">
        <v>86</v>
      </c>
    </row>
    <row r="35" spans="1:6" x14ac:dyDescent="0.3">
      <c r="A35" s="3" t="str">
        <f t="shared" si="1"/>
        <v>68F</v>
      </c>
      <c r="B35" s="4" t="s">
        <v>15</v>
      </c>
      <c r="C35" s="4" t="s">
        <v>64</v>
      </c>
      <c r="D35" s="9" t="s">
        <v>88</v>
      </c>
    </row>
    <row r="36" spans="1:6" x14ac:dyDescent="0.3">
      <c r="A36" s="3">
        <v>690</v>
      </c>
      <c r="B36" s="4" t="s">
        <v>15</v>
      </c>
      <c r="C36" s="4" t="s">
        <v>64</v>
      </c>
      <c r="D36" s="9" t="s">
        <v>89</v>
      </c>
    </row>
    <row r="37" spans="1:6" x14ac:dyDescent="0.3">
      <c r="A37" s="3">
        <v>691</v>
      </c>
      <c r="B37" s="4" t="s">
        <v>25</v>
      </c>
      <c r="C37" s="4" t="s">
        <v>66</v>
      </c>
      <c r="D37" s="9" t="s">
        <v>81</v>
      </c>
      <c r="F37" s="6">
        <v>5</v>
      </c>
    </row>
    <row r="38" spans="1:6" x14ac:dyDescent="0.3">
      <c r="A38" s="3">
        <v>692</v>
      </c>
      <c r="B38" s="4" t="s">
        <v>16</v>
      </c>
      <c r="C38" s="4" t="s">
        <v>67</v>
      </c>
      <c r="D38" s="9" t="s">
        <v>82</v>
      </c>
      <c r="F38" s="6">
        <v>1</v>
      </c>
    </row>
    <row r="39" spans="1:6" x14ac:dyDescent="0.3">
      <c r="A39" s="3">
        <v>693</v>
      </c>
      <c r="B39" s="4" t="s">
        <v>17</v>
      </c>
      <c r="C39" s="4" t="s">
        <v>83</v>
      </c>
      <c r="D39" s="10" t="s">
        <v>84</v>
      </c>
      <c r="F39" s="6">
        <v>2</v>
      </c>
    </row>
    <row r="40" spans="1:6" x14ac:dyDescent="0.3">
      <c r="A40" s="3">
        <v>694</v>
      </c>
      <c r="B40" s="4" t="s">
        <v>18</v>
      </c>
      <c r="C40" s="4" t="s">
        <v>68</v>
      </c>
      <c r="D40" s="4" t="s">
        <v>94</v>
      </c>
    </row>
    <row r="41" spans="1:6" x14ac:dyDescent="0.3">
      <c r="A41" s="3">
        <v>695</v>
      </c>
      <c r="B41" s="4" t="s">
        <v>19</v>
      </c>
      <c r="C41" s="4" t="s">
        <v>69</v>
      </c>
      <c r="D41" s="4" t="s">
        <v>85</v>
      </c>
    </row>
    <row r="42" spans="1:6" x14ac:dyDescent="0.3">
      <c r="A42" s="3">
        <v>696</v>
      </c>
      <c r="B42" s="4" t="s">
        <v>24</v>
      </c>
      <c r="C42" s="4" t="s">
        <v>70</v>
      </c>
      <c r="D42" s="4" t="s">
        <v>92</v>
      </c>
    </row>
    <row r="43" spans="1:6" x14ac:dyDescent="0.3">
      <c r="A43" s="3">
        <v>697</v>
      </c>
      <c r="B43" s="4" t="s">
        <v>140</v>
      </c>
      <c r="C43" s="4" t="s">
        <v>71</v>
      </c>
      <c r="D43" s="4" t="s">
        <v>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FC7D-DABF-43D7-866A-352CCB20B558}">
  <dimension ref="A1:N53"/>
  <sheetViews>
    <sheetView tabSelected="1" workbookViewId="0">
      <pane ySplit="1" topLeftCell="A37" activePane="bottomLeft" state="frozen"/>
      <selection pane="bottomLeft" activeCell="N48" sqref="N48"/>
    </sheetView>
  </sheetViews>
  <sheetFormatPr defaultRowHeight="14.4" x14ac:dyDescent="0.3"/>
  <sheetData>
    <row r="1" spans="1:13" x14ac:dyDescent="0.3">
      <c r="A1" s="11" t="s">
        <v>210</v>
      </c>
      <c r="B1" s="11" t="s">
        <v>209</v>
      </c>
      <c r="C1" s="11" t="s">
        <v>219</v>
      </c>
      <c r="D1" s="11" t="s">
        <v>218</v>
      </c>
      <c r="E1" s="11" t="s">
        <v>217</v>
      </c>
      <c r="F1" s="11" t="s">
        <v>216</v>
      </c>
      <c r="G1" s="11" t="s">
        <v>215</v>
      </c>
      <c r="H1" s="11" t="s">
        <v>214</v>
      </c>
      <c r="I1" s="11" t="s">
        <v>213</v>
      </c>
      <c r="J1" s="11" t="s">
        <v>212</v>
      </c>
      <c r="K1" s="11" t="s">
        <v>211</v>
      </c>
      <c r="L1" s="11" t="s">
        <v>210</v>
      </c>
      <c r="M1" s="11" t="s">
        <v>209</v>
      </c>
    </row>
    <row r="2" spans="1:13" x14ac:dyDescent="0.3">
      <c r="A2" s="1" t="s">
        <v>208</v>
      </c>
      <c r="B2" s="1" t="s">
        <v>207</v>
      </c>
      <c r="C2" s="1" t="s">
        <v>208</v>
      </c>
      <c r="D2" s="1" t="s">
        <v>143</v>
      </c>
      <c r="E2" s="1" t="s">
        <v>119</v>
      </c>
      <c r="F2" s="1" t="s">
        <v>143</v>
      </c>
      <c r="G2" s="1" t="s">
        <v>119</v>
      </c>
      <c r="H2" s="1" t="s">
        <v>143</v>
      </c>
      <c r="I2" s="1" t="s">
        <v>143</v>
      </c>
      <c r="J2" s="1" t="s">
        <v>203</v>
      </c>
      <c r="K2" s="1" t="s">
        <v>24</v>
      </c>
    </row>
    <row r="3" spans="1:13" x14ac:dyDescent="0.3">
      <c r="A3" s="1" t="s">
        <v>208</v>
      </c>
      <c r="B3" s="1" t="s">
        <v>207</v>
      </c>
      <c r="C3" s="1" t="s">
        <v>205</v>
      </c>
      <c r="D3" s="1" t="s">
        <v>207</v>
      </c>
      <c r="E3" s="1" t="s">
        <v>208</v>
      </c>
      <c r="F3" s="1" t="s">
        <v>207</v>
      </c>
      <c r="G3" s="1" t="s">
        <v>119</v>
      </c>
      <c r="H3" s="1" t="s">
        <v>206</v>
      </c>
      <c r="I3" s="1" t="s">
        <v>143</v>
      </c>
      <c r="J3" s="1" t="s">
        <v>203</v>
      </c>
      <c r="K3" s="1" t="s">
        <v>24</v>
      </c>
    </row>
    <row r="4" spans="1:13" x14ac:dyDescent="0.3">
      <c r="A4" s="1" t="s">
        <v>205</v>
      </c>
      <c r="B4" s="1" t="s">
        <v>0</v>
      </c>
      <c r="C4" s="1" t="s">
        <v>202</v>
      </c>
      <c r="D4" s="1" t="s">
        <v>0</v>
      </c>
      <c r="E4" s="1" t="s">
        <v>122</v>
      </c>
      <c r="F4" s="1" t="s">
        <v>143</v>
      </c>
      <c r="G4" s="1" t="s">
        <v>119</v>
      </c>
      <c r="H4" s="1" t="s">
        <v>204</v>
      </c>
      <c r="I4" s="1" t="s">
        <v>143</v>
      </c>
      <c r="J4" s="1" t="s">
        <v>203</v>
      </c>
      <c r="K4" s="1" t="s">
        <v>24</v>
      </c>
      <c r="L4" s="1" t="s">
        <v>122</v>
      </c>
      <c r="M4" s="2" t="s">
        <v>143</v>
      </c>
    </row>
    <row r="5" spans="1:13" x14ac:dyDescent="0.3">
      <c r="A5" s="1" t="s">
        <v>202</v>
      </c>
      <c r="B5" s="1" t="s">
        <v>1</v>
      </c>
      <c r="C5" s="1" t="s">
        <v>198</v>
      </c>
      <c r="D5" s="1" t="s">
        <v>1</v>
      </c>
      <c r="E5" s="1" t="s">
        <v>201</v>
      </c>
      <c r="F5" s="1" t="s">
        <v>199</v>
      </c>
      <c r="G5" s="1" t="s">
        <v>119</v>
      </c>
      <c r="H5" s="1" t="s">
        <v>200</v>
      </c>
      <c r="I5" s="1" t="s">
        <v>199</v>
      </c>
      <c r="J5" s="1" t="s">
        <v>119</v>
      </c>
      <c r="K5" s="1" t="s">
        <v>143</v>
      </c>
    </row>
    <row r="6" spans="1:13" x14ac:dyDescent="0.3">
      <c r="A6" s="1" t="s">
        <v>198</v>
      </c>
      <c r="B6" s="1" t="s">
        <v>20</v>
      </c>
      <c r="C6" s="1" t="s">
        <v>196</v>
      </c>
      <c r="D6" s="1" t="s">
        <v>20</v>
      </c>
      <c r="E6" s="1" t="s">
        <v>198</v>
      </c>
      <c r="F6" s="1" t="s">
        <v>20</v>
      </c>
      <c r="G6" s="1" t="s">
        <v>119</v>
      </c>
      <c r="H6" s="1" t="s">
        <v>197</v>
      </c>
      <c r="I6" s="1" t="s">
        <v>191</v>
      </c>
      <c r="J6" s="1" t="s">
        <v>129</v>
      </c>
      <c r="K6" s="1" t="s">
        <v>128</v>
      </c>
    </row>
    <row r="7" spans="1:13" x14ac:dyDescent="0.3">
      <c r="A7" s="1" t="s">
        <v>196</v>
      </c>
      <c r="B7" s="1" t="s">
        <v>2</v>
      </c>
      <c r="C7" s="1" t="s">
        <v>194</v>
      </c>
      <c r="D7" s="1" t="s">
        <v>2</v>
      </c>
      <c r="E7" s="1" t="s">
        <v>132</v>
      </c>
      <c r="F7" s="1" t="s">
        <v>191</v>
      </c>
      <c r="G7" s="1" t="s">
        <v>132</v>
      </c>
      <c r="H7" s="1" t="s">
        <v>195</v>
      </c>
      <c r="I7" s="1" t="s">
        <v>191</v>
      </c>
      <c r="J7" s="1" t="s">
        <v>129</v>
      </c>
      <c r="K7" s="1" t="s">
        <v>128</v>
      </c>
      <c r="L7" s="1" t="s">
        <v>132</v>
      </c>
      <c r="M7" s="12" t="s">
        <v>191</v>
      </c>
    </row>
    <row r="8" spans="1:13" x14ac:dyDescent="0.3">
      <c r="A8" s="1" t="s">
        <v>194</v>
      </c>
      <c r="B8" s="1" t="s">
        <v>3</v>
      </c>
      <c r="C8" s="1" t="s">
        <v>153</v>
      </c>
      <c r="D8" s="1" t="s">
        <v>3</v>
      </c>
      <c r="E8" s="1" t="s">
        <v>135</v>
      </c>
      <c r="F8" s="1" t="s">
        <v>188</v>
      </c>
      <c r="G8" s="1" t="s">
        <v>135</v>
      </c>
      <c r="H8" s="1" t="s">
        <v>3</v>
      </c>
      <c r="I8" s="1" t="s">
        <v>191</v>
      </c>
      <c r="J8" s="1" t="s">
        <v>129</v>
      </c>
      <c r="K8" s="1" t="s">
        <v>128</v>
      </c>
      <c r="L8" s="1" t="s">
        <v>135</v>
      </c>
      <c r="M8" s="1" t="s">
        <v>188</v>
      </c>
    </row>
    <row r="9" spans="1:13" x14ac:dyDescent="0.3">
      <c r="A9" s="1" t="s">
        <v>153</v>
      </c>
      <c r="B9" s="1" t="s">
        <v>10</v>
      </c>
      <c r="C9" s="1" t="s">
        <v>152</v>
      </c>
      <c r="D9" s="1" t="s">
        <v>10</v>
      </c>
      <c r="E9" s="1" t="s">
        <v>132</v>
      </c>
      <c r="F9" s="1" t="s">
        <v>191</v>
      </c>
      <c r="G9" s="1" t="s">
        <v>135</v>
      </c>
      <c r="H9" s="1" t="s">
        <v>128</v>
      </c>
      <c r="I9" s="1" t="s">
        <v>191</v>
      </c>
      <c r="J9" s="1" t="s">
        <v>129</v>
      </c>
      <c r="K9" s="1" t="s">
        <v>128</v>
      </c>
    </row>
    <row r="10" spans="1:13" x14ac:dyDescent="0.3">
      <c r="A10" s="1" t="s">
        <v>152</v>
      </c>
      <c r="B10" s="1" t="s">
        <v>11</v>
      </c>
      <c r="C10" s="1" t="s">
        <v>150</v>
      </c>
      <c r="D10" s="1" t="s">
        <v>11</v>
      </c>
      <c r="E10" s="1" t="s">
        <v>152</v>
      </c>
      <c r="F10" s="1" t="s">
        <v>11</v>
      </c>
      <c r="G10" s="1" t="s">
        <v>135</v>
      </c>
      <c r="H10" s="1" t="s">
        <v>151</v>
      </c>
      <c r="I10" s="1" t="s">
        <v>191</v>
      </c>
      <c r="J10" s="1" t="s">
        <v>129</v>
      </c>
      <c r="K10" s="1" t="s">
        <v>128</v>
      </c>
    </row>
    <row r="11" spans="1:13" x14ac:dyDescent="0.3">
      <c r="A11" s="1" t="s">
        <v>150</v>
      </c>
      <c r="B11" s="1" t="s">
        <v>15</v>
      </c>
      <c r="C11" s="1" t="s">
        <v>148</v>
      </c>
      <c r="D11" s="1" t="s">
        <v>15</v>
      </c>
      <c r="E11" s="1" t="s">
        <v>132</v>
      </c>
      <c r="F11" s="1" t="s">
        <v>191</v>
      </c>
      <c r="G11" s="1" t="s">
        <v>135</v>
      </c>
      <c r="H11" s="1" t="s">
        <v>128</v>
      </c>
      <c r="I11" s="1" t="s">
        <v>193</v>
      </c>
      <c r="J11" s="1" t="s">
        <v>119</v>
      </c>
      <c r="K11" s="1" t="s">
        <v>143</v>
      </c>
    </row>
    <row r="12" spans="1:13" x14ac:dyDescent="0.3">
      <c r="A12" s="1" t="s">
        <v>148</v>
      </c>
      <c r="B12" s="1" t="s">
        <v>15</v>
      </c>
      <c r="C12" s="1" t="s">
        <v>146</v>
      </c>
      <c r="D12" s="1" t="s">
        <v>15</v>
      </c>
      <c r="E12" s="1" t="s">
        <v>132</v>
      </c>
      <c r="F12" s="1" t="s">
        <v>191</v>
      </c>
      <c r="G12" s="1" t="s">
        <v>135</v>
      </c>
      <c r="H12" s="1" t="s">
        <v>128</v>
      </c>
      <c r="I12" s="1" t="s">
        <v>192</v>
      </c>
      <c r="J12" s="1" t="s">
        <v>119</v>
      </c>
      <c r="K12" s="1" t="s">
        <v>143</v>
      </c>
    </row>
    <row r="13" spans="1:13" x14ac:dyDescent="0.3">
      <c r="A13" s="1" t="s">
        <v>146</v>
      </c>
      <c r="B13" s="1" t="s">
        <v>15</v>
      </c>
      <c r="C13" s="1" t="s">
        <v>142</v>
      </c>
      <c r="D13" s="1" t="s">
        <v>15</v>
      </c>
      <c r="E13" s="1" t="s">
        <v>132</v>
      </c>
      <c r="F13" s="1" t="s">
        <v>191</v>
      </c>
      <c r="G13" s="1" t="s">
        <v>135</v>
      </c>
      <c r="H13" s="1" t="s">
        <v>128</v>
      </c>
      <c r="I13" s="1" t="s">
        <v>190</v>
      </c>
      <c r="J13" s="1" t="s">
        <v>119</v>
      </c>
      <c r="K13" s="1" t="s">
        <v>143</v>
      </c>
    </row>
    <row r="14" spans="1:13" x14ac:dyDescent="0.3">
      <c r="A14" s="1" t="s">
        <v>142</v>
      </c>
      <c r="B14" s="1" t="s">
        <v>25</v>
      </c>
      <c r="C14" s="1" t="s">
        <v>139</v>
      </c>
      <c r="D14" s="1" t="s">
        <v>25</v>
      </c>
      <c r="E14" s="1" t="s">
        <v>141</v>
      </c>
      <c r="F14" s="1" t="s">
        <v>140</v>
      </c>
      <c r="G14" s="1" t="s">
        <v>135</v>
      </c>
      <c r="H14" s="1" t="s">
        <v>125</v>
      </c>
      <c r="I14" s="1" t="s">
        <v>162</v>
      </c>
      <c r="J14" s="1" t="s">
        <v>129</v>
      </c>
      <c r="K14" s="1" t="s">
        <v>128</v>
      </c>
    </row>
    <row r="15" spans="1:13" x14ac:dyDescent="0.3">
      <c r="A15" s="1" t="s">
        <v>139</v>
      </c>
      <c r="B15" s="1" t="s">
        <v>16</v>
      </c>
      <c r="C15" s="1" t="s">
        <v>137</v>
      </c>
      <c r="D15" s="1" t="s">
        <v>16</v>
      </c>
      <c r="E15" s="1" t="s">
        <v>139</v>
      </c>
      <c r="F15" s="1" t="s">
        <v>138</v>
      </c>
      <c r="G15" s="1" t="s">
        <v>135</v>
      </c>
      <c r="H15" s="1" t="s">
        <v>128</v>
      </c>
      <c r="I15" s="1" t="s">
        <v>162</v>
      </c>
      <c r="J15" s="1" t="s">
        <v>129</v>
      </c>
      <c r="K15" s="1" t="s">
        <v>128</v>
      </c>
    </row>
    <row r="16" spans="1:13" x14ac:dyDescent="0.3">
      <c r="A16" s="1" t="s">
        <v>137</v>
      </c>
      <c r="B16" s="1" t="s">
        <v>18</v>
      </c>
      <c r="C16" s="1" t="s">
        <v>136</v>
      </c>
      <c r="D16" s="1" t="s">
        <v>18</v>
      </c>
      <c r="E16" s="1" t="s">
        <v>132</v>
      </c>
      <c r="F16" s="1" t="s">
        <v>162</v>
      </c>
      <c r="G16" s="1" t="s">
        <v>135</v>
      </c>
      <c r="H16" s="1" t="s">
        <v>128</v>
      </c>
      <c r="I16" s="1" t="s">
        <v>162</v>
      </c>
      <c r="J16" s="1" t="s">
        <v>129</v>
      </c>
      <c r="K16" s="1" t="s">
        <v>128</v>
      </c>
      <c r="L16" s="1" t="s">
        <v>132</v>
      </c>
      <c r="M16" s="1" t="s">
        <v>162</v>
      </c>
    </row>
    <row r="17" spans="1:14" x14ac:dyDescent="0.3">
      <c r="A17" s="1" t="s">
        <v>136</v>
      </c>
      <c r="B17" s="1" t="s">
        <v>19</v>
      </c>
      <c r="C17" s="1" t="s">
        <v>189</v>
      </c>
      <c r="D17" s="1" t="s">
        <v>19</v>
      </c>
      <c r="E17" s="1" t="s">
        <v>135</v>
      </c>
      <c r="F17" s="1" t="s">
        <v>188</v>
      </c>
      <c r="G17" s="1" t="s">
        <v>132</v>
      </c>
      <c r="H17" s="1" t="s">
        <v>134</v>
      </c>
      <c r="I17" s="1" t="s">
        <v>162</v>
      </c>
      <c r="J17" s="1" t="s">
        <v>129</v>
      </c>
      <c r="K17" s="1" t="s">
        <v>128</v>
      </c>
    </row>
    <row r="18" spans="1:14" x14ac:dyDescent="0.3">
      <c r="A18" s="1" t="s">
        <v>189</v>
      </c>
      <c r="B18" s="1" t="s">
        <v>21</v>
      </c>
      <c r="C18" s="1" t="s">
        <v>187</v>
      </c>
      <c r="D18" s="1" t="s">
        <v>21</v>
      </c>
      <c r="E18" s="1" t="s">
        <v>132</v>
      </c>
      <c r="F18" s="1" t="s">
        <v>162</v>
      </c>
      <c r="G18" s="1" t="s">
        <v>119</v>
      </c>
      <c r="H18" s="1" t="s">
        <v>188</v>
      </c>
      <c r="I18" s="1" t="s">
        <v>162</v>
      </c>
      <c r="J18" s="1" t="s">
        <v>129</v>
      </c>
      <c r="K18" s="1" t="s">
        <v>128</v>
      </c>
    </row>
    <row r="19" spans="1:14" x14ac:dyDescent="0.3">
      <c r="A19" s="1" t="s">
        <v>187</v>
      </c>
      <c r="B19" s="1" t="s">
        <v>22</v>
      </c>
      <c r="C19" s="1" t="s">
        <v>186</v>
      </c>
      <c r="D19" s="1" t="s">
        <v>22</v>
      </c>
      <c r="E19" s="1" t="s">
        <v>122</v>
      </c>
      <c r="F19" s="1" t="s">
        <v>143</v>
      </c>
      <c r="G19" s="1" t="s">
        <v>119</v>
      </c>
      <c r="H19" s="1" t="s">
        <v>167</v>
      </c>
      <c r="I19" s="1" t="s">
        <v>162</v>
      </c>
      <c r="J19" s="1" t="s">
        <v>129</v>
      </c>
      <c r="K19" s="1" t="s">
        <v>128</v>
      </c>
    </row>
    <row r="20" spans="1:14" x14ac:dyDescent="0.3">
      <c r="A20" s="1" t="s">
        <v>186</v>
      </c>
      <c r="B20" s="1" t="s">
        <v>4</v>
      </c>
      <c r="C20" s="1" t="s">
        <v>184</v>
      </c>
      <c r="D20" s="1" t="s">
        <v>4</v>
      </c>
      <c r="E20" s="1" t="s">
        <v>122</v>
      </c>
      <c r="F20" s="1" t="s">
        <v>162</v>
      </c>
      <c r="G20" s="1" t="s">
        <v>119</v>
      </c>
      <c r="H20" s="1" t="s">
        <v>185</v>
      </c>
      <c r="I20" s="1" t="s">
        <v>162</v>
      </c>
      <c r="J20" s="1" t="s">
        <v>129</v>
      </c>
      <c r="K20" s="1" t="s">
        <v>128</v>
      </c>
      <c r="L20" s="1" t="s">
        <v>122</v>
      </c>
      <c r="M20" s="2" t="s">
        <v>162</v>
      </c>
      <c r="N20" s="1" t="s">
        <v>221</v>
      </c>
    </row>
    <row r="21" spans="1:14" x14ac:dyDescent="0.3">
      <c r="A21" s="1" t="s">
        <v>184</v>
      </c>
      <c r="B21" s="1" t="s">
        <v>5</v>
      </c>
      <c r="C21" s="1" t="s">
        <v>181</v>
      </c>
      <c r="D21" s="1" t="s">
        <v>5</v>
      </c>
      <c r="E21" s="1" t="s">
        <v>183</v>
      </c>
      <c r="F21" s="1" t="s">
        <v>170</v>
      </c>
      <c r="G21" s="1" t="s">
        <v>119</v>
      </c>
      <c r="H21" s="1" t="s">
        <v>182</v>
      </c>
      <c r="I21" s="1" t="s">
        <v>170</v>
      </c>
      <c r="J21" s="1" t="s">
        <v>172</v>
      </c>
      <c r="K21" s="1" t="s">
        <v>171</v>
      </c>
    </row>
    <row r="22" spans="1:14" x14ac:dyDescent="0.3">
      <c r="A22" s="1" t="s">
        <v>181</v>
      </c>
      <c r="B22" s="1" t="s">
        <v>2</v>
      </c>
      <c r="C22" s="1" t="s">
        <v>179</v>
      </c>
      <c r="D22" s="1" t="s">
        <v>2</v>
      </c>
      <c r="E22" s="1" t="s">
        <v>132</v>
      </c>
      <c r="F22" s="1" t="s">
        <v>170</v>
      </c>
      <c r="G22" s="1" t="s">
        <v>132</v>
      </c>
      <c r="H22" s="1" t="s">
        <v>180</v>
      </c>
      <c r="I22" s="1" t="s">
        <v>170</v>
      </c>
      <c r="J22" s="1" t="s">
        <v>172</v>
      </c>
      <c r="K22" s="1" t="s">
        <v>171</v>
      </c>
      <c r="L22" s="1" t="s">
        <v>132</v>
      </c>
      <c r="M22" s="13" t="s">
        <v>170</v>
      </c>
    </row>
    <row r="23" spans="1:14" x14ac:dyDescent="0.3">
      <c r="A23" s="1" t="s">
        <v>179</v>
      </c>
      <c r="B23" s="1" t="s">
        <v>3</v>
      </c>
      <c r="C23" s="1" t="s">
        <v>153</v>
      </c>
      <c r="D23" s="1" t="s">
        <v>3</v>
      </c>
      <c r="E23" s="1" t="s">
        <v>135</v>
      </c>
      <c r="F23" s="1" t="s">
        <v>165</v>
      </c>
      <c r="G23" s="1" t="s">
        <v>135</v>
      </c>
      <c r="H23" s="1" t="s">
        <v>3</v>
      </c>
      <c r="I23" s="1" t="s">
        <v>170</v>
      </c>
      <c r="J23" s="1" t="s">
        <v>172</v>
      </c>
      <c r="K23" s="1" t="s">
        <v>171</v>
      </c>
      <c r="L23" s="1" t="s">
        <v>135</v>
      </c>
      <c r="M23" s="1" t="s">
        <v>165</v>
      </c>
    </row>
    <row r="24" spans="1:14" x14ac:dyDescent="0.3">
      <c r="A24" s="1" t="s">
        <v>153</v>
      </c>
      <c r="B24" s="1" t="s">
        <v>10</v>
      </c>
      <c r="C24" s="1" t="s">
        <v>152</v>
      </c>
      <c r="D24" s="1" t="s">
        <v>10</v>
      </c>
      <c r="E24" s="1" t="s">
        <v>132</v>
      </c>
      <c r="F24" s="1" t="s">
        <v>170</v>
      </c>
      <c r="G24" s="1" t="s">
        <v>135</v>
      </c>
      <c r="H24" s="1" t="s">
        <v>128</v>
      </c>
      <c r="I24" s="1" t="s">
        <v>170</v>
      </c>
      <c r="J24" s="1" t="s">
        <v>172</v>
      </c>
      <c r="K24" s="1" t="s">
        <v>171</v>
      </c>
    </row>
    <row r="25" spans="1:14" x14ac:dyDescent="0.3">
      <c r="A25" s="1" t="s">
        <v>152</v>
      </c>
      <c r="B25" s="1" t="s">
        <v>11</v>
      </c>
      <c r="C25" s="1" t="s">
        <v>177</v>
      </c>
      <c r="D25" s="1" t="s">
        <v>11</v>
      </c>
      <c r="E25" s="1" t="s">
        <v>152</v>
      </c>
      <c r="F25" s="1" t="s">
        <v>11</v>
      </c>
      <c r="G25" s="1" t="s">
        <v>135</v>
      </c>
      <c r="H25" s="1" t="s">
        <v>178</v>
      </c>
      <c r="I25" s="1" t="s">
        <v>170</v>
      </c>
      <c r="J25" s="1" t="s">
        <v>172</v>
      </c>
      <c r="K25" s="1" t="s">
        <v>171</v>
      </c>
    </row>
    <row r="26" spans="1:14" x14ac:dyDescent="0.3">
      <c r="A26" s="1" t="s">
        <v>177</v>
      </c>
      <c r="B26" s="1" t="s">
        <v>12</v>
      </c>
      <c r="C26" s="1" t="s">
        <v>175</v>
      </c>
      <c r="D26" s="1" t="s">
        <v>12</v>
      </c>
      <c r="E26" s="1" t="s">
        <v>176</v>
      </c>
      <c r="F26" s="1" t="s">
        <v>24</v>
      </c>
      <c r="G26" s="1" t="s">
        <v>135</v>
      </c>
      <c r="H26" s="1" t="s">
        <v>159</v>
      </c>
      <c r="I26" s="1" t="s">
        <v>170</v>
      </c>
      <c r="J26" s="1" t="s">
        <v>172</v>
      </c>
      <c r="K26" s="1" t="s">
        <v>171</v>
      </c>
    </row>
    <row r="27" spans="1:14" x14ac:dyDescent="0.3">
      <c r="A27" s="1" t="s">
        <v>175</v>
      </c>
      <c r="B27" s="1" t="s">
        <v>13</v>
      </c>
      <c r="C27" s="1" t="s">
        <v>150</v>
      </c>
      <c r="D27" s="1" t="s">
        <v>13</v>
      </c>
      <c r="E27" s="1" t="s">
        <v>175</v>
      </c>
      <c r="F27" s="1" t="s">
        <v>13</v>
      </c>
      <c r="G27" s="1" t="s">
        <v>135</v>
      </c>
      <c r="H27" s="1" t="s">
        <v>128</v>
      </c>
      <c r="I27" s="1" t="s">
        <v>170</v>
      </c>
      <c r="J27" s="1" t="s">
        <v>172</v>
      </c>
      <c r="K27" s="1" t="s">
        <v>171</v>
      </c>
    </row>
    <row r="28" spans="1:14" x14ac:dyDescent="0.3">
      <c r="A28" s="1" t="s">
        <v>150</v>
      </c>
      <c r="B28" s="1" t="s">
        <v>15</v>
      </c>
      <c r="C28" s="1" t="s">
        <v>148</v>
      </c>
      <c r="D28" s="1" t="s">
        <v>15</v>
      </c>
      <c r="E28" s="1" t="s">
        <v>132</v>
      </c>
      <c r="F28" s="1" t="s">
        <v>170</v>
      </c>
      <c r="G28" s="1" t="s">
        <v>135</v>
      </c>
      <c r="H28" s="1" t="s">
        <v>128</v>
      </c>
      <c r="I28" s="1" t="s">
        <v>174</v>
      </c>
      <c r="J28" s="1" t="s">
        <v>172</v>
      </c>
      <c r="K28" s="1" t="s">
        <v>171</v>
      </c>
    </row>
    <row r="29" spans="1:14" x14ac:dyDescent="0.3">
      <c r="A29" s="1" t="s">
        <v>148</v>
      </c>
      <c r="B29" s="1" t="s">
        <v>15</v>
      </c>
      <c r="C29" s="1" t="s">
        <v>146</v>
      </c>
      <c r="D29" s="1" t="s">
        <v>15</v>
      </c>
      <c r="E29" s="1" t="s">
        <v>132</v>
      </c>
      <c r="F29" s="1" t="s">
        <v>170</v>
      </c>
      <c r="G29" s="1" t="s">
        <v>135</v>
      </c>
      <c r="H29" s="1" t="s">
        <v>128</v>
      </c>
      <c r="I29" s="1" t="s">
        <v>173</v>
      </c>
      <c r="J29" s="1" t="s">
        <v>172</v>
      </c>
      <c r="K29" s="1" t="s">
        <v>171</v>
      </c>
    </row>
    <row r="30" spans="1:14" x14ac:dyDescent="0.3">
      <c r="A30" s="1" t="s">
        <v>146</v>
      </c>
      <c r="B30" s="1" t="s">
        <v>15</v>
      </c>
      <c r="C30" s="1" t="s">
        <v>142</v>
      </c>
      <c r="D30" s="1" t="s">
        <v>15</v>
      </c>
      <c r="E30" s="1" t="s">
        <v>132</v>
      </c>
      <c r="F30" s="1" t="s">
        <v>170</v>
      </c>
      <c r="G30" s="1" t="s">
        <v>135</v>
      </c>
      <c r="H30" s="1" t="s">
        <v>128</v>
      </c>
      <c r="I30" s="1" t="s">
        <v>169</v>
      </c>
      <c r="J30" s="1" t="s">
        <v>168</v>
      </c>
      <c r="K30" s="1" t="s">
        <v>167</v>
      </c>
    </row>
    <row r="31" spans="1:14" x14ac:dyDescent="0.3">
      <c r="A31" s="1" t="s">
        <v>142</v>
      </c>
      <c r="B31" s="1" t="s">
        <v>25</v>
      </c>
      <c r="C31" s="1" t="s">
        <v>139</v>
      </c>
      <c r="D31" s="1" t="s">
        <v>25</v>
      </c>
      <c r="E31" s="1" t="s">
        <v>141</v>
      </c>
      <c r="F31" s="1" t="s">
        <v>140</v>
      </c>
      <c r="G31" s="1" t="s">
        <v>135</v>
      </c>
      <c r="H31" s="1" t="s">
        <v>125</v>
      </c>
      <c r="I31" s="1" t="s">
        <v>164</v>
      </c>
      <c r="J31" s="1" t="s">
        <v>129</v>
      </c>
      <c r="K31" s="1" t="s">
        <v>128</v>
      </c>
    </row>
    <row r="32" spans="1:14" x14ac:dyDescent="0.3">
      <c r="A32" s="1" t="s">
        <v>139</v>
      </c>
      <c r="B32" s="1" t="s">
        <v>16</v>
      </c>
      <c r="C32" s="1" t="s">
        <v>137</v>
      </c>
      <c r="D32" s="1" t="s">
        <v>16</v>
      </c>
      <c r="E32" s="1" t="s">
        <v>139</v>
      </c>
      <c r="F32" s="1" t="s">
        <v>138</v>
      </c>
      <c r="G32" s="1" t="s">
        <v>135</v>
      </c>
      <c r="H32" s="1" t="s">
        <v>128</v>
      </c>
      <c r="I32" s="1" t="s">
        <v>164</v>
      </c>
      <c r="J32" s="1" t="s">
        <v>129</v>
      </c>
      <c r="K32" s="1" t="s">
        <v>128</v>
      </c>
    </row>
    <row r="33" spans="1:14" x14ac:dyDescent="0.3">
      <c r="A33" s="1" t="s">
        <v>137</v>
      </c>
      <c r="B33" s="1" t="s">
        <v>18</v>
      </c>
      <c r="C33" s="1" t="s">
        <v>136</v>
      </c>
      <c r="D33" s="1" t="s">
        <v>18</v>
      </c>
      <c r="E33" s="1" t="s">
        <v>132</v>
      </c>
      <c r="F33" s="1" t="s">
        <v>164</v>
      </c>
      <c r="G33" s="1" t="s">
        <v>135</v>
      </c>
      <c r="H33" s="1" t="s">
        <v>128</v>
      </c>
      <c r="I33" s="1" t="s">
        <v>164</v>
      </c>
      <c r="J33" s="1" t="s">
        <v>129</v>
      </c>
      <c r="K33" s="1" t="s">
        <v>128</v>
      </c>
      <c r="L33" s="1" t="s">
        <v>132</v>
      </c>
      <c r="M33" s="1" t="s">
        <v>164</v>
      </c>
      <c r="N33" s="1" t="s">
        <v>221</v>
      </c>
    </row>
    <row r="34" spans="1:14" x14ac:dyDescent="0.3">
      <c r="A34" s="1" t="s">
        <v>136</v>
      </c>
      <c r="B34" s="1" t="s">
        <v>19</v>
      </c>
      <c r="C34" s="1" t="s">
        <v>166</v>
      </c>
      <c r="D34" s="1" t="s">
        <v>19</v>
      </c>
      <c r="E34" s="1" t="s">
        <v>135</v>
      </c>
      <c r="F34" s="1" t="s">
        <v>165</v>
      </c>
      <c r="G34" s="1" t="s">
        <v>132</v>
      </c>
      <c r="H34" s="1" t="s">
        <v>134</v>
      </c>
      <c r="I34" s="1" t="s">
        <v>164</v>
      </c>
      <c r="J34" s="1" t="s">
        <v>129</v>
      </c>
      <c r="K34" s="1" t="s">
        <v>128</v>
      </c>
    </row>
    <row r="35" spans="1:14" x14ac:dyDescent="0.3">
      <c r="A35" s="1" t="s">
        <v>166</v>
      </c>
      <c r="B35" s="1" t="s">
        <v>21</v>
      </c>
      <c r="C35" s="1" t="s">
        <v>163</v>
      </c>
      <c r="D35" s="1" t="s">
        <v>21</v>
      </c>
      <c r="E35" s="1" t="s">
        <v>132</v>
      </c>
      <c r="F35" s="1" t="s">
        <v>164</v>
      </c>
      <c r="G35" s="1" t="s">
        <v>119</v>
      </c>
      <c r="H35" s="1" t="s">
        <v>165</v>
      </c>
      <c r="I35" s="1" t="s">
        <v>164</v>
      </c>
      <c r="J35" s="1" t="s">
        <v>129</v>
      </c>
      <c r="K35" s="1" t="s">
        <v>128</v>
      </c>
    </row>
    <row r="36" spans="1:14" x14ac:dyDescent="0.3">
      <c r="A36" s="1" t="s">
        <v>163</v>
      </c>
      <c r="B36" s="1" t="s">
        <v>6</v>
      </c>
      <c r="C36" s="1" t="s">
        <v>160</v>
      </c>
      <c r="D36" s="1" t="s">
        <v>6</v>
      </c>
      <c r="E36" s="1" t="s">
        <v>122</v>
      </c>
      <c r="F36" s="1" t="s">
        <v>162</v>
      </c>
      <c r="G36" s="1" t="s">
        <v>119</v>
      </c>
      <c r="H36" s="1" t="s">
        <v>161</v>
      </c>
      <c r="I36" s="1" t="s">
        <v>126</v>
      </c>
      <c r="J36" s="1" t="s">
        <v>129</v>
      </c>
      <c r="K36" s="1" t="s">
        <v>128</v>
      </c>
    </row>
    <row r="37" spans="1:14" x14ac:dyDescent="0.3">
      <c r="A37" s="1" t="s">
        <v>160</v>
      </c>
      <c r="B37" s="1" t="s">
        <v>7</v>
      </c>
      <c r="C37" s="1" t="s">
        <v>158</v>
      </c>
      <c r="D37" s="1" t="s">
        <v>7</v>
      </c>
      <c r="E37" s="1" t="s">
        <v>122</v>
      </c>
      <c r="F37" s="1" t="s">
        <v>126</v>
      </c>
      <c r="G37" s="1" t="s">
        <v>119</v>
      </c>
      <c r="H37" s="1" t="s">
        <v>159</v>
      </c>
      <c r="I37" s="1" t="s">
        <v>126</v>
      </c>
      <c r="J37" s="1" t="s">
        <v>129</v>
      </c>
      <c r="K37" s="1" t="s">
        <v>128</v>
      </c>
      <c r="L37" s="1" t="s">
        <v>122</v>
      </c>
      <c r="M37" s="2" t="s">
        <v>126</v>
      </c>
    </row>
    <row r="38" spans="1:14" x14ac:dyDescent="0.3">
      <c r="A38" s="1" t="s">
        <v>158</v>
      </c>
      <c r="B38" s="1" t="s">
        <v>53</v>
      </c>
      <c r="C38" s="1" t="s">
        <v>156</v>
      </c>
      <c r="D38" s="1" t="s">
        <v>53</v>
      </c>
      <c r="E38" s="1" t="s">
        <v>121</v>
      </c>
      <c r="F38" s="1" t="s">
        <v>145</v>
      </c>
      <c r="G38" s="1" t="s">
        <v>119</v>
      </c>
      <c r="H38" s="1" t="s">
        <v>157</v>
      </c>
      <c r="I38" s="1" t="s">
        <v>145</v>
      </c>
      <c r="J38" s="1" t="s">
        <v>129</v>
      </c>
      <c r="K38" s="1" t="s">
        <v>128</v>
      </c>
    </row>
    <row r="39" spans="1:14" x14ac:dyDescent="0.3">
      <c r="A39" s="1" t="s">
        <v>156</v>
      </c>
      <c r="B39" s="1" t="s">
        <v>2</v>
      </c>
      <c r="C39" s="1" t="s">
        <v>154</v>
      </c>
      <c r="D39" s="1" t="s">
        <v>2</v>
      </c>
      <c r="E39" s="1" t="s">
        <v>132</v>
      </c>
      <c r="F39" s="1" t="s">
        <v>145</v>
      </c>
      <c r="G39" s="1" t="s">
        <v>132</v>
      </c>
      <c r="H39" s="1" t="s">
        <v>155</v>
      </c>
      <c r="I39" s="1" t="s">
        <v>145</v>
      </c>
      <c r="J39" s="1" t="s">
        <v>129</v>
      </c>
      <c r="K39" s="1" t="s">
        <v>128</v>
      </c>
      <c r="L39" s="1" t="s">
        <v>132</v>
      </c>
      <c r="M39" s="13" t="s">
        <v>145</v>
      </c>
    </row>
    <row r="40" spans="1:14" x14ac:dyDescent="0.3">
      <c r="A40" s="1" t="s">
        <v>154</v>
      </c>
      <c r="B40" s="1" t="s">
        <v>3</v>
      </c>
      <c r="C40" s="1" t="s">
        <v>153</v>
      </c>
      <c r="D40" s="1" t="s">
        <v>3</v>
      </c>
      <c r="E40" s="1" t="s">
        <v>135</v>
      </c>
      <c r="F40" s="1" t="s">
        <v>131</v>
      </c>
      <c r="G40" s="1" t="s">
        <v>135</v>
      </c>
      <c r="H40" s="1" t="s">
        <v>3</v>
      </c>
      <c r="I40" s="1" t="s">
        <v>145</v>
      </c>
      <c r="J40" s="1" t="s">
        <v>129</v>
      </c>
      <c r="K40" s="1" t="s">
        <v>128</v>
      </c>
      <c r="L40" s="1" t="s">
        <v>135</v>
      </c>
      <c r="M40" s="1" t="s">
        <v>131</v>
      </c>
    </row>
    <row r="41" spans="1:14" x14ac:dyDescent="0.3">
      <c r="A41" s="1" t="s">
        <v>153</v>
      </c>
      <c r="B41" s="1" t="s">
        <v>10</v>
      </c>
      <c r="C41" s="1" t="s">
        <v>152</v>
      </c>
      <c r="D41" s="1" t="s">
        <v>10</v>
      </c>
      <c r="E41" s="1" t="s">
        <v>132</v>
      </c>
      <c r="F41" s="1" t="s">
        <v>145</v>
      </c>
      <c r="G41" s="1" t="s">
        <v>135</v>
      </c>
      <c r="H41" s="1" t="s">
        <v>128</v>
      </c>
      <c r="I41" s="1" t="s">
        <v>145</v>
      </c>
      <c r="J41" s="1" t="s">
        <v>129</v>
      </c>
      <c r="K41" s="1" t="s">
        <v>128</v>
      </c>
    </row>
    <row r="42" spans="1:14" x14ac:dyDescent="0.3">
      <c r="A42" s="1" t="s">
        <v>152</v>
      </c>
      <c r="B42" s="1" t="s">
        <v>11</v>
      </c>
      <c r="C42" s="1" t="s">
        <v>150</v>
      </c>
      <c r="D42" s="1" t="s">
        <v>11</v>
      </c>
      <c r="E42" s="1" t="s">
        <v>152</v>
      </c>
      <c r="F42" s="1" t="s">
        <v>11</v>
      </c>
      <c r="G42" s="1" t="s">
        <v>135</v>
      </c>
      <c r="H42" s="1" t="s">
        <v>151</v>
      </c>
      <c r="I42" s="1" t="s">
        <v>145</v>
      </c>
      <c r="J42" s="1" t="s">
        <v>129</v>
      </c>
      <c r="K42" s="1" t="s">
        <v>128</v>
      </c>
    </row>
    <row r="43" spans="1:14" x14ac:dyDescent="0.3">
      <c r="A43" s="1" t="s">
        <v>150</v>
      </c>
      <c r="B43" s="1" t="s">
        <v>15</v>
      </c>
      <c r="C43" s="1" t="s">
        <v>148</v>
      </c>
      <c r="D43" s="1" t="s">
        <v>15</v>
      </c>
      <c r="E43" s="1" t="s">
        <v>132</v>
      </c>
      <c r="F43" s="1" t="s">
        <v>145</v>
      </c>
      <c r="G43" s="1" t="s">
        <v>135</v>
      </c>
      <c r="H43" s="1" t="s">
        <v>128</v>
      </c>
      <c r="I43" s="1" t="s">
        <v>149</v>
      </c>
      <c r="J43" s="1" t="s">
        <v>119</v>
      </c>
      <c r="K43" s="1" t="s">
        <v>143</v>
      </c>
    </row>
    <row r="44" spans="1:14" x14ac:dyDescent="0.3">
      <c r="A44" s="1" t="s">
        <v>148</v>
      </c>
      <c r="B44" s="1" t="s">
        <v>15</v>
      </c>
      <c r="C44" s="1" t="s">
        <v>146</v>
      </c>
      <c r="D44" s="1" t="s">
        <v>15</v>
      </c>
      <c r="E44" s="1" t="s">
        <v>132</v>
      </c>
      <c r="F44" s="1" t="s">
        <v>145</v>
      </c>
      <c r="G44" s="1" t="s">
        <v>135</v>
      </c>
      <c r="H44" s="1" t="s">
        <v>128</v>
      </c>
      <c r="I44" s="1" t="s">
        <v>147</v>
      </c>
      <c r="J44" s="1" t="s">
        <v>119</v>
      </c>
      <c r="K44" s="1" t="s">
        <v>143</v>
      </c>
    </row>
    <row r="45" spans="1:14" x14ac:dyDescent="0.3">
      <c r="A45" s="1" t="s">
        <v>146</v>
      </c>
      <c r="B45" s="1" t="s">
        <v>15</v>
      </c>
      <c r="C45" s="1" t="s">
        <v>142</v>
      </c>
      <c r="D45" s="1" t="s">
        <v>15</v>
      </c>
      <c r="E45" s="1" t="s">
        <v>132</v>
      </c>
      <c r="F45" s="1" t="s">
        <v>145</v>
      </c>
      <c r="G45" s="1" t="s">
        <v>135</v>
      </c>
      <c r="H45" s="1" t="s">
        <v>128</v>
      </c>
      <c r="I45" s="1" t="s">
        <v>144</v>
      </c>
      <c r="J45" s="1" t="s">
        <v>119</v>
      </c>
      <c r="K45" s="1" t="s">
        <v>143</v>
      </c>
    </row>
    <row r="46" spans="1:14" x14ac:dyDescent="0.3">
      <c r="A46" s="1" t="s">
        <v>142</v>
      </c>
      <c r="B46" s="1" t="s">
        <v>25</v>
      </c>
      <c r="C46" s="1" t="s">
        <v>139</v>
      </c>
      <c r="D46" s="1" t="s">
        <v>25</v>
      </c>
      <c r="E46" s="1" t="s">
        <v>141</v>
      </c>
      <c r="F46" s="1" t="s">
        <v>140</v>
      </c>
      <c r="G46" s="1" t="s">
        <v>135</v>
      </c>
      <c r="H46" s="1" t="s">
        <v>125</v>
      </c>
      <c r="I46" s="1" t="s">
        <v>130</v>
      </c>
      <c r="J46" s="1" t="s">
        <v>129</v>
      </c>
      <c r="K46" s="1" t="s">
        <v>128</v>
      </c>
    </row>
    <row r="47" spans="1:14" x14ac:dyDescent="0.3">
      <c r="A47" s="1" t="s">
        <v>139</v>
      </c>
      <c r="B47" s="1" t="s">
        <v>16</v>
      </c>
      <c r="C47" s="1" t="s">
        <v>137</v>
      </c>
      <c r="D47" s="1" t="s">
        <v>16</v>
      </c>
      <c r="E47" s="1" t="s">
        <v>139</v>
      </c>
      <c r="F47" s="1" t="s">
        <v>138</v>
      </c>
      <c r="G47" s="1" t="s">
        <v>135</v>
      </c>
      <c r="H47" s="1" t="s">
        <v>128</v>
      </c>
      <c r="I47" s="1" t="s">
        <v>130</v>
      </c>
      <c r="J47" s="1" t="s">
        <v>129</v>
      </c>
      <c r="K47" s="1" t="s">
        <v>128</v>
      </c>
    </row>
    <row r="48" spans="1:14" x14ac:dyDescent="0.3">
      <c r="A48" s="1" t="s">
        <v>137</v>
      </c>
      <c r="B48" s="1" t="s">
        <v>18</v>
      </c>
      <c r="C48" s="1" t="s">
        <v>136</v>
      </c>
      <c r="D48" s="1" t="s">
        <v>18</v>
      </c>
      <c r="E48" s="1" t="s">
        <v>132</v>
      </c>
      <c r="F48" s="1" t="s">
        <v>130</v>
      </c>
      <c r="G48" s="1" t="s">
        <v>135</v>
      </c>
      <c r="H48" s="1" t="s">
        <v>128</v>
      </c>
      <c r="I48" s="1" t="s">
        <v>130</v>
      </c>
      <c r="J48" s="1" t="s">
        <v>129</v>
      </c>
      <c r="K48" s="1" t="s">
        <v>128</v>
      </c>
      <c r="L48" s="1" t="s">
        <v>132</v>
      </c>
      <c r="M48" s="1" t="s">
        <v>130</v>
      </c>
      <c r="N48" s="1" t="s">
        <v>221</v>
      </c>
    </row>
    <row r="49" spans="1:13" x14ac:dyDescent="0.3">
      <c r="A49" s="1" t="s">
        <v>136</v>
      </c>
      <c r="B49" s="1" t="s">
        <v>19</v>
      </c>
      <c r="C49" s="1" t="s">
        <v>133</v>
      </c>
      <c r="D49" s="1" t="s">
        <v>19</v>
      </c>
      <c r="E49" s="1" t="s">
        <v>135</v>
      </c>
      <c r="F49" s="1" t="s">
        <v>131</v>
      </c>
      <c r="G49" s="1" t="s">
        <v>132</v>
      </c>
      <c r="H49" s="1" t="s">
        <v>134</v>
      </c>
      <c r="I49" s="1" t="s">
        <v>130</v>
      </c>
      <c r="J49" s="1" t="s">
        <v>129</v>
      </c>
      <c r="K49" s="1" t="s">
        <v>128</v>
      </c>
    </row>
    <row r="50" spans="1:13" x14ac:dyDescent="0.3">
      <c r="A50" s="1" t="s">
        <v>133</v>
      </c>
      <c r="B50" s="1" t="s">
        <v>21</v>
      </c>
      <c r="C50" s="1" t="s">
        <v>127</v>
      </c>
      <c r="D50" s="1" t="s">
        <v>21</v>
      </c>
      <c r="E50" s="1" t="s">
        <v>132</v>
      </c>
      <c r="F50" s="1" t="s">
        <v>130</v>
      </c>
      <c r="G50" s="1" t="s">
        <v>119</v>
      </c>
      <c r="H50" s="1" t="s">
        <v>131</v>
      </c>
      <c r="I50" s="1" t="s">
        <v>130</v>
      </c>
      <c r="J50" s="1" t="s">
        <v>129</v>
      </c>
      <c r="K50" s="1" t="s">
        <v>128</v>
      </c>
    </row>
    <row r="51" spans="1:13" x14ac:dyDescent="0.3">
      <c r="A51" s="1" t="s">
        <v>127</v>
      </c>
      <c r="B51" s="1" t="s">
        <v>23</v>
      </c>
      <c r="C51" s="1" t="s">
        <v>124</v>
      </c>
      <c r="D51" s="1" t="s">
        <v>23</v>
      </c>
      <c r="E51" s="1" t="s">
        <v>122</v>
      </c>
      <c r="F51" s="1" t="s">
        <v>126</v>
      </c>
      <c r="G51" s="1" t="s">
        <v>119</v>
      </c>
      <c r="H51" s="1" t="s">
        <v>125</v>
      </c>
      <c r="I51" s="1" t="s">
        <v>117</v>
      </c>
      <c r="J51" s="1" t="s">
        <v>116</v>
      </c>
      <c r="K51" s="1" t="s">
        <v>115</v>
      </c>
    </row>
    <row r="52" spans="1:13" x14ac:dyDescent="0.3">
      <c r="A52" s="1" t="s">
        <v>124</v>
      </c>
      <c r="B52" s="1" t="s">
        <v>8</v>
      </c>
      <c r="C52" s="1" t="s">
        <v>120</v>
      </c>
      <c r="D52" s="1" t="s">
        <v>8</v>
      </c>
      <c r="E52" s="1" t="s">
        <v>122</v>
      </c>
      <c r="F52" s="1" t="s">
        <v>117</v>
      </c>
      <c r="G52" s="1" t="s">
        <v>119</v>
      </c>
      <c r="H52" s="1" t="s">
        <v>123</v>
      </c>
      <c r="I52" s="1" t="s">
        <v>117</v>
      </c>
      <c r="J52" s="1" t="s">
        <v>116</v>
      </c>
      <c r="K52" s="1" t="s">
        <v>115</v>
      </c>
      <c r="L52" s="1" t="s">
        <v>122</v>
      </c>
      <c r="M52" s="2" t="s">
        <v>117</v>
      </c>
    </row>
    <row r="53" spans="1:13" x14ac:dyDescent="0.3">
      <c r="A53" s="1" t="s">
        <v>120</v>
      </c>
      <c r="B53" s="1" t="s">
        <v>24</v>
      </c>
      <c r="C53" s="1" t="s">
        <v>121</v>
      </c>
      <c r="D53" s="1" t="s">
        <v>24</v>
      </c>
      <c r="E53" s="1" t="s">
        <v>120</v>
      </c>
      <c r="F53" s="1" t="s">
        <v>24</v>
      </c>
      <c r="G53" s="1" t="s">
        <v>119</v>
      </c>
      <c r="H53" s="1" t="s">
        <v>118</v>
      </c>
      <c r="I53" s="1" t="s">
        <v>117</v>
      </c>
      <c r="J53" s="1" t="s">
        <v>116</v>
      </c>
      <c r="K53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trace_1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</dc:creator>
  <cp:lastModifiedBy>KET</cp:lastModifiedBy>
  <dcterms:created xsi:type="dcterms:W3CDTF">2026-03-18T07:36:55Z</dcterms:created>
  <dcterms:modified xsi:type="dcterms:W3CDTF">2026-04-01T07:04:19Z</dcterms:modified>
</cp:coreProperties>
</file>